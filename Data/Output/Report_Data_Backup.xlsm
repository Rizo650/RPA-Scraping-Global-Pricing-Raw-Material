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.nuget\packages\rpa.scraping.global.pricing.raw.material\1.0.59\content\Data\Output\"/>
    </mc:Choice>
  </mc:AlternateContent>
  <xr:revisionPtr revIDLastSave="0" documentId="13_ncr:1_{52BCD3DD-7E90-4B25-A340-2C47FD1CB2DB}" xr6:coauthVersionLast="47" xr6:coauthVersionMax="47" xr10:uidLastSave="{00000000-0000-0000-0000-000000000000}"/>
  <bookViews>
    <workbookView xWindow="-120" yWindow="-120" windowWidth="20730" windowHeight="11160" xr2:uid="{1D99F76F-D506-4641-8F70-4D7EAB557B5E}"/>
  </bookViews>
  <sheets>
    <sheet name="WhatsAp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" l="1"/>
  <c r="H8" i="1"/>
  <c r="K7" i="1"/>
  <c r="G4" i="1"/>
  <c r="G1" i="1"/>
  <c r="I9" i="1" l="1"/>
  <c r="J9" i="1" s="1"/>
  <c r="G5" i="1"/>
  <c r="B1" i="1" s="1"/>
  <c r="B5" i="1" s="1"/>
  <c r="H20" i="1"/>
  <c r="H19" i="1"/>
  <c r="H17" i="1"/>
  <c r="H16" i="1"/>
  <c r="H15" i="1"/>
  <c r="H14" i="1"/>
  <c r="H13" i="1"/>
  <c r="H12" i="1"/>
  <c r="H9" i="1"/>
  <c r="I20" i="1"/>
  <c r="J20" i="1" s="1"/>
  <c r="I19" i="1"/>
  <c r="J19" i="1" s="1"/>
  <c r="I16" i="1"/>
  <c r="J16" i="1" s="1"/>
  <c r="I17" i="1"/>
  <c r="J17" i="1" s="1"/>
  <c r="I15" i="1"/>
  <c r="J15" i="1" s="1"/>
  <c r="I14" i="1"/>
  <c r="J14" i="1" s="1"/>
  <c r="I13" i="1"/>
  <c r="J13" i="1" s="1"/>
  <c r="I12" i="1"/>
  <c r="J12" i="1" s="1"/>
  <c r="I8" i="1"/>
  <c r="J8" i="1" s="1"/>
  <c r="K9" i="1" l="1"/>
  <c r="K15" i="1"/>
  <c r="K20" i="1"/>
  <c r="K13" i="1"/>
  <c r="K12" i="1"/>
  <c r="K16" i="1"/>
  <c r="K14" i="1"/>
  <c r="K17" i="1"/>
  <c r="K19" i="1"/>
  <c r="K8" i="1"/>
  <c r="K6" i="1"/>
  <c r="K11" i="1"/>
  <c r="F4" i="1" l="1"/>
  <c r="K5" i="1"/>
</calcChain>
</file>

<file path=xl/sharedStrings.xml><?xml version="1.0" encoding="utf-8"?>
<sst xmlns="http://schemas.openxmlformats.org/spreadsheetml/2006/main" count="146" uniqueCount="81">
  <si>
    <t>HMS 1/2 80:20</t>
  </si>
  <si>
    <t>Message</t>
  </si>
  <si>
    <t>Price Index</t>
  </si>
  <si>
    <t xml:space="preserve">BI Middle Rate (USD): </t>
  </si>
  <si>
    <t>Ω</t>
  </si>
  <si>
    <t>[⚪] Price Remains Unchanged</t>
  </si>
  <si>
    <r>
      <t>[</t>
    </r>
    <r>
      <rPr>
        <sz val="11"/>
        <color rgb="FF00B050"/>
        <rFont val="Aptos Narrow"/>
        <family val="2"/>
        <scheme val="minor"/>
      </rPr>
      <t>🟢</t>
    </r>
    <r>
      <rPr>
        <sz val="11"/>
        <color theme="1"/>
        <rFont val="Aptos Narrow"/>
        <family val="2"/>
        <scheme val="minor"/>
      </rPr>
      <t>] Price Increases</t>
    </r>
  </si>
  <si>
    <r>
      <t>[</t>
    </r>
    <r>
      <rPr>
        <sz val="11"/>
        <color rgb="FFFF0000"/>
        <rFont val="Aptos Narrow"/>
        <family val="2"/>
        <scheme val="minor"/>
      </rPr>
      <t>🔴</t>
    </r>
    <r>
      <rPr>
        <sz val="11"/>
        <color theme="1"/>
        <rFont val="Aptos Narrow"/>
        <family val="2"/>
        <scheme val="minor"/>
      </rPr>
      <t>] Price Decreases</t>
    </r>
  </si>
  <si>
    <t>Changes</t>
  </si>
  <si>
    <t>Currency</t>
  </si>
  <si>
    <t xml:space="preserve">IDR </t>
  </si>
  <si>
    <t>Report Date</t>
  </si>
  <si>
    <t xml:space="preserve"> $. </t>
  </si>
  <si>
    <t xml:space="preserve"> Rp. </t>
  </si>
  <si>
    <t>History Report Date</t>
  </si>
  <si>
    <t>--------------------------------------------------</t>
  </si>
  <si>
    <t>Key</t>
  </si>
  <si>
    <t>TS01011</t>
  </si>
  <si>
    <t>IODBZ00</t>
  </si>
  <si>
    <t>MCCEI00</t>
  </si>
  <si>
    <t>SB01035</t>
  </si>
  <si>
    <t>SB01114</t>
  </si>
  <si>
    <t>%</t>
  </si>
  <si>
    <t>SAP</t>
  </si>
  <si>
    <r>
      <t xml:space="preserve">Excel ini dibuat oleh </t>
    </r>
    <r>
      <rPr>
        <b/>
        <sz val="9"/>
        <color theme="1"/>
        <rFont val="Aptos Narrow"/>
        <family val="2"/>
        <scheme val="minor"/>
      </rPr>
      <t>Ariyanto Susanto</t>
    </r>
    <r>
      <rPr>
        <sz val="9"/>
        <color theme="1"/>
        <rFont val="Aptos Narrow"/>
        <family val="2"/>
        <scheme val="minor"/>
      </rPr>
      <t xml:space="preserve"> dan telah dilengkapi dengan </t>
    </r>
    <r>
      <rPr>
        <b/>
        <sz val="9"/>
        <color theme="1"/>
        <rFont val="Aptos Narrow"/>
        <family val="2"/>
        <scheme val="minor"/>
      </rPr>
      <t>validasi</t>
    </r>
    <r>
      <rPr>
        <sz val="9"/>
        <color theme="1"/>
        <rFont val="Aptos Narrow"/>
        <family val="2"/>
        <scheme val="minor"/>
      </rPr>
      <t xml:space="preserve"> untuk menjaga integritas rumus-rumus yang ada di dalam sel-selnya. </t>
    </r>
  </si>
  <si>
    <t>Sumber Data:</t>
  </si>
  <si>
    <r>
      <t xml:space="preserve">Jika terdapat kebutuhan untuk melakukan perubahan pada file ini, silakan hubungi </t>
    </r>
    <r>
      <rPr>
        <b/>
        <sz val="9"/>
        <color theme="1"/>
        <rFont val="Aptos Narrow"/>
        <family val="2"/>
        <scheme val="minor"/>
      </rPr>
      <t>Ariyanto Susanto</t>
    </r>
    <r>
      <rPr>
        <sz val="9"/>
        <color theme="1"/>
        <rFont val="Aptos Narrow"/>
        <family val="2"/>
        <scheme val="minor"/>
      </rPr>
      <t xml:space="preserve"> untuk memperbarui dokumen </t>
    </r>
    <r>
      <rPr>
        <b/>
        <sz val="9"/>
        <color theme="1"/>
        <rFont val="Aptos Narrow"/>
        <family val="2"/>
        <scheme val="minor"/>
      </rPr>
      <t>Excel</t>
    </r>
    <r>
      <rPr>
        <sz val="9"/>
        <color theme="1"/>
        <rFont val="Aptos Narrow"/>
        <family val="2"/>
        <scheme val="minor"/>
      </rPr>
      <t>.</t>
    </r>
  </si>
  <si>
    <t>https://plattsconnect.spglobal.com/#platts/workspace?workspace=New%20Workspace&amp;type=private</t>
  </si>
  <si>
    <t>https://www.kallanish.com/en/prices/details/containerised-scrap-cfr-taiwan-usdt/</t>
  </si>
  <si>
    <t>https://www.kallanish.com/en/prices/details/black-sea-pig-iron-fob-usdt/</t>
  </si>
  <si>
    <t xml:space="preserve">Platts Connect Website </t>
  </si>
  <si>
    <t>Username</t>
  </si>
  <si>
    <t xml:space="preserve">Password </t>
  </si>
  <si>
    <t xml:space="preserve">Kallanish Website </t>
  </si>
  <si>
    <t>Akun:</t>
  </si>
  <si>
    <t>/Mt CFR China</t>
  </si>
  <si>
    <t>Initial</t>
  </si>
  <si>
    <t>Final</t>
  </si>
  <si>
    <t>/Mt CFR India</t>
  </si>
  <si>
    <t>/Kg</t>
  </si>
  <si>
    <t>/Mt CFR</t>
  </si>
  <si>
    <t>/Mt FOB Black Sea Port</t>
  </si>
  <si>
    <t>/Mt CFR South East Asia</t>
  </si>
  <si>
    <r>
      <t xml:space="preserve">: </t>
    </r>
    <r>
      <rPr>
        <sz val="9"/>
        <color theme="0"/>
        <rFont val="Aptos Narrow"/>
        <family val="2"/>
        <scheme val="minor"/>
      </rPr>
      <t>eveline.wagiu@gunungsteel.com</t>
    </r>
  </si>
  <si>
    <r>
      <t xml:space="preserve">: </t>
    </r>
    <r>
      <rPr>
        <sz val="9"/>
        <color theme="0"/>
        <rFont val="Aptos Narrow"/>
        <family val="2"/>
        <scheme val="minor"/>
      </rPr>
      <t>Gunung@2024</t>
    </r>
  </si>
  <si>
    <r>
      <t xml:space="preserve">: </t>
    </r>
    <r>
      <rPr>
        <sz val="9"/>
        <color theme="0"/>
        <rFont val="Aptos Narrow"/>
        <family val="2"/>
        <scheme val="minor"/>
      </rPr>
      <t>erica@gunungprisma.com</t>
    </r>
  </si>
  <si>
    <r>
      <t xml:space="preserve">: </t>
    </r>
    <r>
      <rPr>
        <sz val="9"/>
        <color theme="0"/>
        <rFont val="Aptos Narrow"/>
        <family val="2"/>
        <scheme val="minor"/>
      </rPr>
      <t>Steel!4099</t>
    </r>
  </si>
  <si>
    <t>WhatsApp</t>
  </si>
  <si>
    <t>*This message was sent automatically by Robotic Process Automation - GYS.*</t>
  </si>
  <si>
    <t>**Please do not reply to this message.*</t>
  </si>
  <si>
    <t>Global Pricing</t>
  </si>
  <si>
    <t>SB01130</t>
  </si>
  <si>
    <t>BI (Web)</t>
  </si>
  <si>
    <t>Kallanish</t>
  </si>
  <si>
    <t>Libur Nasional:</t>
  </si>
  <si>
    <t>Isra Mikraj Nabi Muhammad saw</t>
  </si>
  <si>
    <t>Tahun Baru Imlek 2576 Kongzili</t>
  </si>
  <si>
    <t>Hari Suci Nyepi (Tahun Baru Saka 1947)</t>
  </si>
  <si>
    <t>Idul Fitri 1446 Hijriah</t>
  </si>
  <si>
    <t>Wafat Yesus Kristus</t>
  </si>
  <si>
    <t>Kebangkitan Yesus Kristus (Paskah)</t>
  </si>
  <si>
    <t>Hari Buruh Internasional</t>
  </si>
  <si>
    <t>Hari Raya Waisak 2569 BE</t>
  </si>
  <si>
    <t>Kenaikan Yesus Kristus</t>
  </si>
  <si>
    <t>Hari Lahir Pancasila</t>
  </si>
  <si>
    <t>Idul Adha 1446 Hijriah</t>
  </si>
  <si>
    <t>1 Muharam Tahun Baru Islam 1447 Hijriah</t>
  </si>
  <si>
    <t>Proklamasi Kemerdekaan</t>
  </si>
  <si>
    <t>Maulid Nabi Muhammad saw</t>
  </si>
  <si>
    <t>Kelahiran Yesus Kristus</t>
  </si>
  <si>
    <t>Tahun Baru</t>
  </si>
  <si>
    <t>GYS Price Light:</t>
  </si>
  <si>
    <t>GYS Price Heavy:</t>
  </si>
  <si>
    <t>Turkey import Price:</t>
  </si>
  <si>
    <t>Pig Iron:</t>
  </si>
  <si>
    <t>Taiwan import Price:</t>
  </si>
  <si>
    <t>East Asia Import:</t>
  </si>
  <si>
    <t>Billet:</t>
  </si>
  <si>
    <t>H-Beam:</t>
  </si>
  <si>
    <t>Iron ore IODEX,</t>
  </si>
  <si>
    <t>Met Coke: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</si>
</sst>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\.mm\.yyyy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0"/>
      <name val="Consolas"/>
      <family val="3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9"/>
      <color theme="1"/>
      <name val="Aptos"/>
      <family val="2"/>
    </font>
    <font>
      <sz val="9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2775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164" fontId="0" fillId="0" borderId="4" xfId="1" applyFont="1" applyFill="1" applyBorder="1" applyAlignment="1" applyProtection="1">
      <alignment horizontal="center"/>
      <protection locked="0"/>
    </xf>
    <xf numFmtId="164" fontId="0" fillId="0" borderId="4" xfId="1" applyFont="1" applyFill="1" applyBorder="1" applyAlignment="1" applyProtection="1">
      <alignment horizontal="center" vertical="center"/>
      <protection locked="0"/>
    </xf>
    <xf numFmtId="165" fontId="2" fillId="2" borderId="6" xfId="0" applyNumberFormat="1" applyFont="1" applyFill="1" applyBorder="1" applyAlignment="1" applyProtection="1">
      <alignment horizontal="center" vertical="center"/>
      <protection hidden="1"/>
    </xf>
    <xf numFmtId="165" fontId="0" fillId="4" borderId="4" xfId="0" applyNumberFormat="1" applyFill="1" applyBorder="1" applyAlignment="1" applyProtection="1">
      <alignment horizontal="center"/>
      <protection hidden="1"/>
    </xf>
    <xf numFmtId="0" fontId="0" fillId="4" borderId="4" xfId="0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4" borderId="4" xfId="0" applyFill="1" applyBorder="1" applyAlignment="1" applyProtection="1">
      <alignment horizontal="center"/>
      <protection hidden="1"/>
    </xf>
    <xf numFmtId="164" fontId="0" fillId="4" borderId="4" xfId="1" applyFont="1" applyFill="1" applyBorder="1" applyAlignment="1" applyProtection="1">
      <alignment horizontal="center"/>
      <protection hidden="1"/>
    </xf>
    <xf numFmtId="0" fontId="0" fillId="4" borderId="4" xfId="0" quotePrefix="1" applyFill="1" applyBorder="1" applyProtection="1">
      <protection hidden="1"/>
    </xf>
    <xf numFmtId="10" fontId="0" fillId="4" borderId="4" xfId="2" applyNumberFormat="1" applyFont="1" applyFill="1" applyBorder="1" applyAlignment="1" applyProtection="1">
      <alignment horizontal="center"/>
      <protection hidden="1"/>
    </xf>
    <xf numFmtId="0" fontId="9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17" xfId="0" applyBorder="1"/>
    <xf numFmtId="0" fontId="8" fillId="0" borderId="0" xfId="0" applyFont="1" applyAlignment="1" applyProtection="1">
      <alignment vertical="center"/>
      <protection hidden="1"/>
    </xf>
    <xf numFmtId="0" fontId="5" fillId="4" borderId="4" xfId="0" applyFont="1" applyFill="1" applyBorder="1" applyProtection="1">
      <protection hidden="1"/>
    </xf>
    <xf numFmtId="0" fontId="3" fillId="4" borderId="4" xfId="0" applyFont="1" applyFill="1" applyBorder="1" applyProtection="1">
      <protection hidden="1"/>
    </xf>
    <xf numFmtId="165" fontId="8" fillId="0" borderId="2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22" xfId="0" applyBorder="1"/>
    <xf numFmtId="0" fontId="8" fillId="0" borderId="23" xfId="0" applyFont="1" applyBorder="1" applyAlignment="1">
      <alignment vertical="center"/>
    </xf>
    <xf numFmtId="0" fontId="0" fillId="0" borderId="24" xfId="0" applyBorder="1"/>
    <xf numFmtId="165" fontId="12" fillId="0" borderId="0" xfId="0" applyNumberFormat="1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164" fontId="0" fillId="5" borderId="4" xfId="1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hidden="1"/>
    </xf>
    <xf numFmtId="0" fontId="0" fillId="4" borderId="8" xfId="0" applyFill="1" applyBorder="1" applyAlignment="1" applyProtection="1">
      <alignment horizontal="center"/>
      <protection hidden="1"/>
    </xf>
    <xf numFmtId="164" fontId="0" fillId="4" borderId="4" xfId="1" applyFont="1" applyFill="1" applyBorder="1" applyAlignment="1" applyProtection="1">
      <alignment horizontal="center" vertical="center"/>
      <protection locked="0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16" xfId="0" applyFont="1" applyFill="1" applyBorder="1" applyAlignment="1" applyProtection="1">
      <alignment horizontal="center" vertical="center"/>
      <protection hidden="1"/>
    </xf>
    <xf numFmtId="0" fontId="6" fillId="3" borderId="7" xfId="0" applyFont="1" applyFill="1" applyBorder="1" applyAlignment="1" applyProtection="1">
      <alignment horizontal="center" vertical="center"/>
      <protection hidden="1"/>
    </xf>
    <xf numFmtId="0" fontId="7" fillId="2" borderId="9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5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hidden="1"/>
    </xf>
    <xf numFmtId="0" fontId="2" fillId="2" borderId="19" xfId="0" applyFont="1" applyFill="1" applyBorder="1" applyAlignment="1" applyProtection="1">
      <alignment horizontal="center" vertical="center"/>
      <protection hidden="1"/>
    </xf>
    <xf numFmtId="0" fontId="2" fillId="2" borderId="20" xfId="0" applyFont="1" applyFill="1" applyBorder="1" applyAlignment="1" applyProtection="1">
      <alignment horizontal="center" vertical="center"/>
      <protection hidden="1"/>
    </xf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0277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7B33B-A862-4712-AEA9-BB1D3DB1DD49}">
  <sheetPr codeName="Sheet1"/>
  <dimension ref="B1:K147"/>
  <sheetViews>
    <sheetView showGridLines="0" tabSelected="1" topLeftCell="B3" workbookViewId="0">
      <selection activeCell="G21" sqref="G21"/>
    </sheetView>
  </sheetViews>
  <sheetFormatPr defaultRowHeight="15" x14ac:dyDescent="0.25"/>
  <cols>
    <col min="1" max="1" width="3.7109375" customWidth="1"/>
    <col min="2" max="2" width="8.7109375" customWidth="1"/>
    <col min="3" max="3" width="18.28515625" customWidth="1"/>
    <col min="4" max="4" width="20.28515625" bestFit="1" customWidth="1"/>
    <col min="5" max="5" width="8.42578125" bestFit="1" customWidth="1"/>
    <col min="6" max="7" width="11.7109375" customWidth="1"/>
    <col min="8" max="8" width="9.28515625" bestFit="1" customWidth="1"/>
    <col min="9" max="9" width="9.28515625" customWidth="1"/>
    <col min="10" max="10" width="13.28515625" customWidth="1"/>
    <col min="11" max="11" width="64.28515625" bestFit="1" customWidth="1"/>
    <col min="12" max="12" width="3.7109375" customWidth="1"/>
  </cols>
  <sheetData>
    <row r="1" spans="2:11" x14ac:dyDescent="0.25">
      <c r="B1" s="24" t="str">
        <f ca="1">IF(G5=F5,"Don’t Send Message","Send Messages")</f>
        <v>Send Messages</v>
      </c>
      <c r="G1" s="23">
        <f ca="1">IF(WEEKDAY(NOW()-1)=1,NOW()-3,NOW()-1)</f>
        <v>45793.566808564814</v>
      </c>
      <c r="K1" s="5"/>
    </row>
    <row r="2" spans="2:11" x14ac:dyDescent="0.25">
      <c r="B2" s="35" t="s">
        <v>16</v>
      </c>
      <c r="C2" s="43" t="s">
        <v>1</v>
      </c>
      <c r="D2" s="44"/>
      <c r="E2" s="38" t="s">
        <v>9</v>
      </c>
      <c r="F2" s="41" t="s">
        <v>14</v>
      </c>
      <c r="G2" s="41" t="s">
        <v>11</v>
      </c>
      <c r="H2" s="38" t="s">
        <v>8</v>
      </c>
      <c r="I2" s="38" t="s">
        <v>22</v>
      </c>
      <c r="J2" s="32" t="s">
        <v>4</v>
      </c>
      <c r="K2" s="29" t="s">
        <v>47</v>
      </c>
    </row>
    <row r="3" spans="2:11" x14ac:dyDescent="0.25">
      <c r="B3" s="36"/>
      <c r="C3" s="45"/>
      <c r="D3" s="46"/>
      <c r="E3" s="39"/>
      <c r="F3" s="42"/>
      <c r="G3" s="42"/>
      <c r="H3" s="39"/>
      <c r="I3" s="39"/>
      <c r="J3" s="33"/>
      <c r="K3" s="30"/>
    </row>
    <row r="4" spans="2:11" x14ac:dyDescent="0.25">
      <c r="B4" s="37"/>
      <c r="C4" s="26" t="s">
        <v>36</v>
      </c>
      <c r="D4" s="26" t="s">
        <v>37</v>
      </c>
      <c r="E4" s="40"/>
      <c r="F4" s="3">
        <f ca="1">IF(WEEKDAY(G4-1)=1,G4-3,G4-1)</f>
        <v>45792</v>
      </c>
      <c r="G4" s="3">
        <f ca="1">IF(WEEKDAY(NOW())=1,WORKDAY(NOW()-4,-1,$B$48:$B$147),WORKDAY(NOW(),-1,$B$48:$B$147))</f>
        <v>45793</v>
      </c>
      <c r="H4" s="40"/>
      <c r="I4" s="40"/>
      <c r="J4" s="34"/>
      <c r="K4" s="31"/>
    </row>
    <row r="5" spans="2:11" x14ac:dyDescent="0.25">
      <c r="B5" s="27" t="str">
        <f ca="1">IF(B1="Send messages","Y","X")</f>
        <v>Y</v>
      </c>
      <c r="C5" s="6" t="s">
        <v>50</v>
      </c>
      <c r="D5" s="6"/>
      <c r="E5" s="5"/>
      <c r="F5" s="4">
        <v>45667</v>
      </c>
      <c r="G5" s="4">
        <f ca="1">G4</f>
        <v>45793</v>
      </c>
      <c r="H5" s="4"/>
      <c r="I5" s="4"/>
      <c r="J5" s="5"/>
      <c r="K5" s="6" t="str">
        <f ca="1">"*"&amp;C5&amp;" "&amp;TEXT(G4,"dd mmmm yyyy")&amp;"*"</f>
        <v>*Global Pricing 16 May 2025*</v>
      </c>
    </row>
    <row r="6" spans="2:11" x14ac:dyDescent="0.25">
      <c r="B6" s="5"/>
      <c r="C6" s="6" t="s">
        <v>2</v>
      </c>
      <c r="D6" s="6"/>
      <c r="E6" s="5"/>
      <c r="F6" s="7"/>
      <c r="G6" s="7"/>
      <c r="H6" s="4"/>
      <c r="I6" s="4"/>
      <c r="J6" s="5"/>
      <c r="K6" s="6" t="str">
        <f>"*"&amp;C6&amp;"*"</f>
        <v>*Price Index*</v>
      </c>
    </row>
    <row r="7" spans="2:11" x14ac:dyDescent="0.25">
      <c r="B7" s="7" t="s">
        <v>52</v>
      </c>
      <c r="C7" s="5" t="s">
        <v>3</v>
      </c>
      <c r="D7" s="5"/>
      <c r="E7" s="7" t="s">
        <v>10</v>
      </c>
      <c r="F7" s="1">
        <v>16568</v>
      </c>
      <c r="G7" s="1">
        <v>16535</v>
      </c>
      <c r="H7" s="7"/>
      <c r="I7" s="4"/>
      <c r="J7" s="5"/>
      <c r="K7" s="5" t="str">
        <f>C7&amp;E7&amp;TEXT(G7,"#.##0,00")</f>
        <v>BI Middle Rate (USD): IDR 16.535,00</v>
      </c>
    </row>
    <row r="8" spans="2:11" x14ac:dyDescent="0.25">
      <c r="B8" s="7" t="s">
        <v>18</v>
      </c>
      <c r="C8" s="5" t="s">
        <v>79</v>
      </c>
      <c r="D8" s="5" t="s">
        <v>35</v>
      </c>
      <c r="E8" s="7" t="s">
        <v>12</v>
      </c>
      <c r="F8" s="2">
        <v>102.2</v>
      </c>
      <c r="G8" s="2">
        <v>101.1</v>
      </c>
      <c r="H8" s="8">
        <f>IF(F8&gt;G8,(F8-G8),IF(F8&lt;G8,(G8-F8),""))</f>
        <v>1.1000000000000085</v>
      </c>
      <c r="I8" s="10">
        <f>IF((G8-F8)/F8=0,"",(G8-F8)/F8)</f>
        <v>-1.0763209393346462E-2</v>
      </c>
      <c r="J8" s="7" t="str">
        <f>IF(F8&gt;G8,"🔴"&amp;TEXT(I8,"0,00%"),IF(F8&lt;G8,"🟢"&amp;TEXT(I8,"0,00%"),"⚪"))</f>
        <v>🔴-1,08%</v>
      </c>
      <c r="K8" s="5" t="str">
        <f>"["&amp;J8&amp;IF(H8="",""," | "&amp;E8&amp;TEXT(H8,"#.##0,00"))&amp;"] "&amp;C8&amp;E8&amp;TEXT(G8,"#.##0,00")&amp;D8</f>
        <v>[🔴-1,08% |  $. 1,10] Iron ore IODEX, $. 101,10/Mt CFR China</v>
      </c>
    </row>
    <row r="9" spans="2:11" x14ac:dyDescent="0.25">
      <c r="B9" s="7" t="s">
        <v>19</v>
      </c>
      <c r="C9" s="5" t="s">
        <v>80</v>
      </c>
      <c r="D9" s="5" t="s">
        <v>38</v>
      </c>
      <c r="E9" s="7" t="s">
        <v>12</v>
      </c>
      <c r="F9" s="28"/>
      <c r="G9" s="28">
        <v>0</v>
      </c>
      <c r="H9" s="8" t="str">
        <f>IF(F10&gt;G10,(F10-G10),IF(F10&lt;G10,(G10-F10),""))</f>
        <v/>
      </c>
      <c r="I9" s="10" t="str">
        <f>IF((G10-F10)/F10=0,"",(G10-F10)/F10)</f>
        <v/>
      </c>
      <c r="J9" s="7" t="str">
        <f>IF(F10&gt;G10,"🔴"&amp;TEXT(I9,"0,00%"),IF(F10&lt;G10,"🟢"&amp;TEXT(I9,"0,00%"),"⚪"))</f>
        <v>⚪</v>
      </c>
      <c r="K9" s="5" t="str">
        <f>"["&amp;J9&amp;IF(H9="",""," | "&amp;E9&amp;TEXT(H9,"#.##0,00"))&amp;"] "&amp;C9&amp;E9&amp;TEXT(G10,"#.##0,00")&amp;D9</f>
        <v>[⚪] Met Coke: $. 287,20/Mt CFR India</v>
      </c>
    </row>
    <row r="10" spans="2:11" x14ac:dyDescent="0.25">
      <c r="B10" s="5"/>
      <c r="C10" s="5"/>
      <c r="D10" s="5"/>
      <c r="E10" s="5"/>
      <c r="F10" s="25">
        <v>287.2</v>
      </c>
      <c r="G10" s="25">
        <f>IF(G9=0,F10,IF(G9&gt;=0,F10+F9,IF(G9&lt;=0,F10+F9)))</f>
        <v>287.2</v>
      </c>
      <c r="I10" s="5"/>
      <c r="J10" s="5"/>
      <c r="K10" s="5"/>
    </row>
    <row r="11" spans="2:11" x14ac:dyDescent="0.25">
      <c r="B11" s="5"/>
      <c r="C11" s="6" t="s">
        <v>0</v>
      </c>
      <c r="D11" s="6"/>
      <c r="E11" s="5"/>
      <c r="F11" s="5"/>
      <c r="G11" s="5"/>
      <c r="H11" s="5"/>
      <c r="I11" s="5"/>
      <c r="J11" s="5"/>
      <c r="K11" s="6" t="str">
        <f>"*"&amp;C11&amp;"*"</f>
        <v>*HMS 1/2 80:20*</v>
      </c>
    </row>
    <row r="12" spans="2:11" x14ac:dyDescent="0.25">
      <c r="B12" s="7" t="s">
        <v>23</v>
      </c>
      <c r="C12" s="5" t="s">
        <v>72</v>
      </c>
      <c r="D12" s="5" t="s">
        <v>39</v>
      </c>
      <c r="E12" s="7" t="s">
        <v>13</v>
      </c>
      <c r="F12" s="1">
        <v>6000</v>
      </c>
      <c r="G12" s="1">
        <v>6000</v>
      </c>
      <c r="H12" s="8" t="str">
        <f t="shared" ref="H12:H17" si="0">IF(F12&gt;G12,(F12-G12),IF(F12&lt;G12,(G12-F12),""))</f>
        <v/>
      </c>
      <c r="I12" s="10" t="str">
        <f t="shared" ref="I12:I17" si="1">IF((G12-F12)/F12=0,"",(G12-F12)/F12)</f>
        <v/>
      </c>
      <c r="J12" s="7" t="str">
        <f t="shared" ref="J12:J17" si="2">IF(F12&gt;G12,"🔴"&amp;TEXT(I12,"0,00%"),IF(F12&lt;G12,"🟢"&amp;TEXT(I12,"0,00%"),"⚪"))</f>
        <v>⚪</v>
      </c>
      <c r="K12" s="5" t="str">
        <f t="shared" ref="K12:K17" si="3">"["&amp;J12&amp;IF(H12="",""," | "&amp;E12&amp;TEXT(H12,"#.##0,00"))&amp;"] "&amp;C12&amp;E12&amp;TEXT(G12,"#.##0,00")&amp;D12</f>
        <v>[⚪] GYS Price Heavy: Rp. 6.000,00/Kg</v>
      </c>
    </row>
    <row r="13" spans="2:11" x14ac:dyDescent="0.25">
      <c r="B13" s="7" t="s">
        <v>23</v>
      </c>
      <c r="C13" s="5" t="s">
        <v>71</v>
      </c>
      <c r="D13" s="5" t="s">
        <v>39</v>
      </c>
      <c r="E13" s="7" t="s">
        <v>13</v>
      </c>
      <c r="F13" s="1">
        <v>5100</v>
      </c>
      <c r="G13" s="1">
        <v>5100</v>
      </c>
      <c r="H13" s="8" t="str">
        <f t="shared" si="0"/>
        <v/>
      </c>
      <c r="I13" s="10" t="str">
        <f t="shared" si="1"/>
        <v/>
      </c>
      <c r="J13" s="7" t="str">
        <f t="shared" si="2"/>
        <v>⚪</v>
      </c>
      <c r="K13" s="5" t="str">
        <f t="shared" si="3"/>
        <v>[⚪] GYS Price Light: Rp. 5.100,00/Kg</v>
      </c>
    </row>
    <row r="14" spans="2:11" x14ac:dyDescent="0.25">
      <c r="B14" s="7" t="s">
        <v>17</v>
      </c>
      <c r="C14" s="5" t="s">
        <v>73</v>
      </c>
      <c r="D14" s="5" t="s">
        <v>40</v>
      </c>
      <c r="E14" s="7" t="s">
        <v>12</v>
      </c>
      <c r="F14" s="2">
        <v>347</v>
      </c>
      <c r="G14" s="2">
        <v>347</v>
      </c>
      <c r="H14" s="8" t="str">
        <f t="shared" si="0"/>
        <v/>
      </c>
      <c r="I14" s="10" t="str">
        <f t="shared" si="1"/>
        <v/>
      </c>
      <c r="J14" s="7" t="str">
        <f t="shared" si="2"/>
        <v>⚪</v>
      </c>
      <c r="K14" s="5" t="str">
        <f t="shared" si="3"/>
        <v>[⚪] Turkey import Price: $. 347,00/Mt CFR</v>
      </c>
    </row>
    <row r="15" spans="2:11" x14ac:dyDescent="0.25">
      <c r="B15" s="7" t="s">
        <v>53</v>
      </c>
      <c r="C15" s="5" t="s">
        <v>74</v>
      </c>
      <c r="D15" s="5" t="s">
        <v>41</v>
      </c>
      <c r="E15" s="7" t="s">
        <v>12</v>
      </c>
      <c r="F15" s="2">
        <v>345</v>
      </c>
      <c r="G15" s="2">
        <v>345</v>
      </c>
      <c r="H15" s="8" t="str">
        <f t="shared" si="0"/>
        <v/>
      </c>
      <c r="I15" s="10" t="str">
        <f t="shared" si="1"/>
        <v/>
      </c>
      <c r="J15" s="7" t="str">
        <f t="shared" si="2"/>
        <v>⚪</v>
      </c>
      <c r="K15" s="5" t="str">
        <f t="shared" si="3"/>
        <v>[⚪] Pig Iron: $. 345,00/Mt FOB Black Sea Port</v>
      </c>
    </row>
    <row r="16" spans="2:11" x14ac:dyDescent="0.25">
      <c r="B16" s="7" t="s">
        <v>53</v>
      </c>
      <c r="C16" s="5" t="s">
        <v>75</v>
      </c>
      <c r="D16" s="5" t="s">
        <v>40</v>
      </c>
      <c r="E16" s="7" t="s">
        <v>12</v>
      </c>
      <c r="F16" s="2">
        <v>282.5</v>
      </c>
      <c r="G16" s="2">
        <v>282.5</v>
      </c>
      <c r="H16" s="8" t="str">
        <f t="shared" si="0"/>
        <v/>
      </c>
      <c r="I16" s="10" t="str">
        <f t="shared" si="1"/>
        <v/>
      </c>
      <c r="J16" s="7" t="str">
        <f t="shared" si="2"/>
        <v>⚪</v>
      </c>
      <c r="K16" s="5" t="str">
        <f t="shared" si="3"/>
        <v>[⚪] Taiwan import Price: $. 282,50/Mt CFR</v>
      </c>
    </row>
    <row r="17" spans="2:11" x14ac:dyDescent="0.25">
      <c r="B17" s="7" t="s">
        <v>51</v>
      </c>
      <c r="C17" s="5" t="s">
        <v>76</v>
      </c>
      <c r="D17" s="5" t="s">
        <v>40</v>
      </c>
      <c r="E17" s="7" t="s">
        <v>12</v>
      </c>
      <c r="F17" s="2">
        <v>335</v>
      </c>
      <c r="G17" s="2">
        <v>335</v>
      </c>
      <c r="H17" s="8" t="str">
        <f t="shared" si="0"/>
        <v/>
      </c>
      <c r="I17" s="10" t="str">
        <f t="shared" si="1"/>
        <v/>
      </c>
      <c r="J17" s="7" t="str">
        <f t="shared" si="2"/>
        <v>⚪</v>
      </c>
      <c r="K17" s="5" t="str">
        <f t="shared" si="3"/>
        <v>[⚪] East Asia Import: $. 335,00/Mt CFR</v>
      </c>
    </row>
    <row r="18" spans="2:11" x14ac:dyDescent="0.25">
      <c r="B18" s="5"/>
      <c r="C18" s="5"/>
      <c r="D18" s="5"/>
      <c r="E18" s="5"/>
      <c r="F18" s="28"/>
      <c r="G18" s="28"/>
      <c r="H18" s="5"/>
      <c r="I18" s="5"/>
      <c r="J18" s="5"/>
      <c r="K18" s="5"/>
    </row>
    <row r="19" spans="2:11" x14ac:dyDescent="0.25">
      <c r="B19" s="7" t="s">
        <v>20</v>
      </c>
      <c r="C19" s="5" t="s">
        <v>77</v>
      </c>
      <c r="D19" s="5" t="s">
        <v>42</v>
      </c>
      <c r="E19" s="7" t="s">
        <v>12</v>
      </c>
      <c r="F19" s="1">
        <v>454</v>
      </c>
      <c r="G19" s="1">
        <v>454</v>
      </c>
      <c r="H19" s="8" t="str">
        <f t="shared" ref="H19:H20" si="4">IF(F19&gt;G19,(F19-G19),IF(F19&lt;G19,(G19-F19),""))</f>
        <v/>
      </c>
      <c r="I19" s="10" t="str">
        <f>IF((G19-F19)/F19=0,"",(G19-F19)/F19)</f>
        <v/>
      </c>
      <c r="J19" s="7" t="str">
        <f t="shared" ref="J19:J20" si="5">IF(F19&gt;G19,"🔴"&amp;TEXT(I19,"0,00%"),IF(F19&lt;G19,"🟢"&amp;TEXT(I19,"0,00%"),"⚪"))</f>
        <v>⚪</v>
      </c>
      <c r="K19" s="5" t="str">
        <f>"["&amp;J19&amp;IF(H19="",""," | "&amp;E19&amp;TEXT(H19,"#.##0,00"))&amp;"] "&amp;C19&amp;E19&amp;TEXT(G19,"#.##0,00")&amp;D19</f>
        <v>[⚪] Billet: $. 454,00/Mt CFR South East Asia</v>
      </c>
    </row>
    <row r="20" spans="2:11" x14ac:dyDescent="0.25">
      <c r="B20" s="7" t="s">
        <v>21</v>
      </c>
      <c r="C20" s="5" t="s">
        <v>78</v>
      </c>
      <c r="D20" s="5" t="s">
        <v>42</v>
      </c>
      <c r="E20" s="7" t="s">
        <v>12</v>
      </c>
      <c r="F20" s="1">
        <v>549</v>
      </c>
      <c r="G20" s="1">
        <v>549</v>
      </c>
      <c r="H20" s="8" t="str">
        <f t="shared" si="4"/>
        <v/>
      </c>
      <c r="I20" s="10" t="str">
        <f>IF((G20-F20)/F20=0,"",(G20-F20)/F20)</f>
        <v/>
      </c>
      <c r="J20" s="7" t="str">
        <f t="shared" si="5"/>
        <v>⚪</v>
      </c>
      <c r="K20" s="5" t="str">
        <f>"["&amp;J20&amp;IF(H20="",""," | "&amp;E20&amp;TEXT(H20,"#.##0,00"))&amp;"] "&amp;C20&amp;E20&amp;TEXT(G20,"#.##0,00")&amp;D20</f>
        <v>[⚪] H-Beam: $. 549,00/Mt CFR South East Asia</v>
      </c>
    </row>
    <row r="21" spans="2:11" x14ac:dyDescent="0.25">
      <c r="B21" s="5"/>
      <c r="C21" s="5"/>
      <c r="D21" s="5"/>
      <c r="E21" s="5"/>
      <c r="F21" s="5"/>
      <c r="G21" s="5"/>
      <c r="H21" s="5"/>
      <c r="I21" s="5"/>
      <c r="J21" s="5"/>
      <c r="K21" s="9" t="s">
        <v>15</v>
      </c>
    </row>
    <row r="22" spans="2:11" x14ac:dyDescent="0.25">
      <c r="B22" s="5"/>
      <c r="C22" s="5"/>
      <c r="D22" s="5"/>
      <c r="E22" s="5"/>
      <c r="F22" s="5"/>
      <c r="G22" s="5"/>
      <c r="H22" s="5"/>
      <c r="I22" s="5"/>
      <c r="J22" s="16"/>
      <c r="K22" s="5" t="s">
        <v>6</v>
      </c>
    </row>
    <row r="23" spans="2:11" x14ac:dyDescent="0.25">
      <c r="B23" s="5"/>
      <c r="C23" s="5"/>
      <c r="D23" s="5"/>
      <c r="E23" s="5"/>
      <c r="F23" s="5"/>
      <c r="G23" s="5"/>
      <c r="H23" s="5"/>
      <c r="I23" s="5"/>
      <c r="J23" s="17"/>
      <c r="K23" s="5" t="s">
        <v>7</v>
      </c>
    </row>
    <row r="24" spans="2:11" x14ac:dyDescent="0.25">
      <c r="B24" s="5"/>
      <c r="C24" s="5"/>
      <c r="D24" s="5"/>
      <c r="E24" s="5"/>
      <c r="F24" s="5"/>
      <c r="G24" s="5"/>
      <c r="H24" s="5"/>
      <c r="I24" s="5"/>
      <c r="J24" s="5"/>
      <c r="K24" s="5" t="s">
        <v>5</v>
      </c>
    </row>
    <row r="25" spans="2:11" x14ac:dyDescent="0.25"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2:11" x14ac:dyDescent="0.25">
      <c r="B26" s="5"/>
      <c r="C26" s="5"/>
      <c r="D26" s="5"/>
      <c r="E26" s="5"/>
      <c r="F26" s="5"/>
      <c r="G26" s="5"/>
      <c r="H26" s="5"/>
      <c r="I26" s="5"/>
      <c r="J26" s="5"/>
      <c r="K26" s="5" t="s">
        <v>48</v>
      </c>
    </row>
    <row r="27" spans="2:11" x14ac:dyDescent="0.25">
      <c r="B27" s="5"/>
      <c r="C27" s="5"/>
      <c r="D27" s="5"/>
      <c r="E27" s="5"/>
      <c r="F27" s="5"/>
      <c r="G27" s="5"/>
      <c r="H27" s="5"/>
      <c r="I27" s="5"/>
      <c r="J27" s="5"/>
      <c r="K27" s="5" t="s">
        <v>49</v>
      </c>
    </row>
    <row r="28" spans="2:11" x14ac:dyDescent="0.25"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2:11" ht="3" customHeight="1" x14ac:dyDescent="0.25">
      <c r="B29" s="14"/>
      <c r="C29" s="14"/>
      <c r="D29" s="14"/>
      <c r="E29" s="14"/>
      <c r="F29" s="14"/>
      <c r="G29" s="14"/>
      <c r="H29" s="14"/>
      <c r="I29" s="14"/>
      <c r="J29" s="14"/>
      <c r="K29" s="14"/>
    </row>
    <row r="30" spans="2:11" ht="10.15" customHeight="1" x14ac:dyDescent="0.25">
      <c r="B30" s="13" t="s">
        <v>24</v>
      </c>
    </row>
    <row r="31" spans="2:11" ht="10.15" customHeight="1" x14ac:dyDescent="0.25">
      <c r="B31" s="13" t="s">
        <v>26</v>
      </c>
    </row>
    <row r="32" spans="2:11" ht="6" customHeight="1" thickBot="1" x14ac:dyDescent="0.3">
      <c r="B32" s="20"/>
      <c r="C32" s="20"/>
      <c r="D32" s="20"/>
      <c r="E32" s="20"/>
      <c r="F32" s="20"/>
      <c r="G32" s="20"/>
      <c r="H32" s="20"/>
      <c r="I32" s="20"/>
      <c r="J32" s="20"/>
    </row>
    <row r="33" spans="2:10" ht="10.15" customHeight="1" thickTop="1" x14ac:dyDescent="0.25">
      <c r="B33" s="11" t="s">
        <v>25</v>
      </c>
    </row>
    <row r="34" spans="2:10" ht="10.15" customHeight="1" x14ac:dyDescent="0.25">
      <c r="B34" s="12" t="s">
        <v>23</v>
      </c>
    </row>
    <row r="35" spans="2:10" ht="10.15" customHeight="1" x14ac:dyDescent="0.25">
      <c r="B35" s="12" t="s">
        <v>27</v>
      </c>
    </row>
    <row r="36" spans="2:10" ht="10.15" customHeight="1" x14ac:dyDescent="0.25">
      <c r="B36" s="12" t="s">
        <v>28</v>
      </c>
    </row>
    <row r="37" spans="2:10" ht="10.15" customHeight="1" x14ac:dyDescent="0.25">
      <c r="B37" s="12" t="s">
        <v>29</v>
      </c>
    </row>
    <row r="38" spans="2:10" ht="6" customHeight="1" thickBot="1" x14ac:dyDescent="0.3">
      <c r="B38" s="20"/>
      <c r="C38" s="20"/>
      <c r="D38" s="20"/>
      <c r="E38" s="20"/>
      <c r="F38" s="20"/>
      <c r="G38" s="20"/>
      <c r="H38" s="20"/>
      <c r="I38" s="20"/>
      <c r="J38" s="20"/>
    </row>
    <row r="39" spans="2:10" ht="10.15" customHeight="1" thickTop="1" x14ac:dyDescent="0.25">
      <c r="B39" s="11" t="s">
        <v>34</v>
      </c>
    </row>
    <row r="40" spans="2:10" ht="10.15" customHeight="1" x14ac:dyDescent="0.25">
      <c r="B40" s="11" t="s">
        <v>30</v>
      </c>
    </row>
    <row r="41" spans="2:10" ht="10.15" customHeight="1" x14ac:dyDescent="0.25">
      <c r="B41" s="13" t="s">
        <v>31</v>
      </c>
      <c r="C41" s="15" t="s">
        <v>43</v>
      </c>
    </row>
    <row r="42" spans="2:10" ht="10.15" customHeight="1" x14ac:dyDescent="0.25">
      <c r="B42" s="13" t="s">
        <v>32</v>
      </c>
      <c r="C42" s="15" t="s">
        <v>44</v>
      </c>
    </row>
    <row r="43" spans="2:10" ht="10.15" customHeight="1" x14ac:dyDescent="0.25">
      <c r="B43" s="19" t="s">
        <v>33</v>
      </c>
    </row>
    <row r="44" spans="2:10" ht="10.15" customHeight="1" x14ac:dyDescent="0.25">
      <c r="B44" s="13" t="s">
        <v>31</v>
      </c>
      <c r="C44" s="15" t="s">
        <v>45</v>
      </c>
    </row>
    <row r="45" spans="2:10" ht="10.15" customHeight="1" x14ac:dyDescent="0.25">
      <c r="B45" s="13" t="s">
        <v>32</v>
      </c>
      <c r="C45" s="15" t="s">
        <v>46</v>
      </c>
    </row>
    <row r="46" spans="2:10" ht="6" customHeight="1" thickBot="1" x14ac:dyDescent="0.3">
      <c r="B46" s="20"/>
      <c r="C46" s="20"/>
      <c r="D46" s="20"/>
      <c r="E46" s="20"/>
      <c r="F46" s="20"/>
      <c r="G46" s="20"/>
      <c r="H46" s="20"/>
      <c r="I46" s="20"/>
      <c r="J46" s="20"/>
    </row>
    <row r="47" spans="2:10" ht="10.15" customHeight="1" thickTop="1" x14ac:dyDescent="0.25">
      <c r="B47" s="11" t="s">
        <v>54</v>
      </c>
    </row>
    <row r="48" spans="2:10" ht="10.15" customHeight="1" x14ac:dyDescent="0.25">
      <c r="B48" s="18">
        <v>45658</v>
      </c>
      <c r="C48" s="21" t="s">
        <v>70</v>
      </c>
      <c r="D48" s="22"/>
    </row>
    <row r="49" spans="2:4" ht="10.15" customHeight="1" x14ac:dyDescent="0.25">
      <c r="B49" s="18">
        <v>46023</v>
      </c>
      <c r="C49" s="21" t="s">
        <v>70</v>
      </c>
      <c r="D49" s="22"/>
    </row>
    <row r="50" spans="2:4" ht="10.15" customHeight="1" x14ac:dyDescent="0.25">
      <c r="B50" s="18">
        <v>46388</v>
      </c>
      <c r="C50" s="21" t="s">
        <v>70</v>
      </c>
      <c r="D50" s="22"/>
    </row>
    <row r="51" spans="2:4" ht="10.15" customHeight="1" x14ac:dyDescent="0.25">
      <c r="B51" s="18">
        <v>46753</v>
      </c>
      <c r="C51" s="21" t="s">
        <v>70</v>
      </c>
      <c r="D51" s="22"/>
    </row>
    <row r="52" spans="2:4" ht="10.15" customHeight="1" x14ac:dyDescent="0.25">
      <c r="B52" s="18">
        <v>47119</v>
      </c>
      <c r="C52" s="21" t="s">
        <v>70</v>
      </c>
      <c r="D52" s="22"/>
    </row>
    <row r="53" spans="2:4" ht="10.15" customHeight="1" x14ac:dyDescent="0.25">
      <c r="B53" s="18">
        <v>47484</v>
      </c>
      <c r="C53" s="21" t="s">
        <v>70</v>
      </c>
      <c r="D53" s="22"/>
    </row>
    <row r="54" spans="2:4" ht="10.15" customHeight="1" x14ac:dyDescent="0.25">
      <c r="B54" s="18">
        <v>47849</v>
      </c>
      <c r="C54" s="21" t="s">
        <v>70</v>
      </c>
      <c r="D54" s="22"/>
    </row>
    <row r="55" spans="2:4" ht="10.15" customHeight="1" x14ac:dyDescent="0.25">
      <c r="B55" s="18">
        <v>48214</v>
      </c>
      <c r="C55" s="21" t="s">
        <v>70</v>
      </c>
      <c r="D55" s="22"/>
    </row>
    <row r="56" spans="2:4" ht="10.15" customHeight="1" x14ac:dyDescent="0.25">
      <c r="B56" s="18">
        <v>48580</v>
      </c>
      <c r="C56" s="21" t="s">
        <v>70</v>
      </c>
      <c r="D56" s="22"/>
    </row>
    <row r="57" spans="2:4" ht="10.15" customHeight="1" x14ac:dyDescent="0.25">
      <c r="B57" s="18">
        <v>48945</v>
      </c>
      <c r="C57" s="21" t="s">
        <v>70</v>
      </c>
      <c r="D57" s="22"/>
    </row>
    <row r="58" spans="2:4" ht="10.15" customHeight="1" x14ac:dyDescent="0.25">
      <c r="B58" s="18">
        <v>45778</v>
      </c>
      <c r="C58" s="21" t="s">
        <v>61</v>
      </c>
      <c r="D58" s="22"/>
    </row>
    <row r="59" spans="2:4" ht="10.15" customHeight="1" x14ac:dyDescent="0.25">
      <c r="B59" s="18">
        <v>46143</v>
      </c>
      <c r="C59" s="21" t="s">
        <v>61</v>
      </c>
      <c r="D59" s="22"/>
    </row>
    <row r="60" spans="2:4" ht="10.15" customHeight="1" x14ac:dyDescent="0.25">
      <c r="B60" s="18">
        <v>46508</v>
      </c>
      <c r="C60" s="21" t="s">
        <v>61</v>
      </c>
      <c r="D60" s="22"/>
    </row>
    <row r="61" spans="2:4" ht="10.15" customHeight="1" x14ac:dyDescent="0.25">
      <c r="B61" s="18">
        <v>46874</v>
      </c>
      <c r="C61" s="21" t="s">
        <v>61</v>
      </c>
      <c r="D61" s="22"/>
    </row>
    <row r="62" spans="2:4" ht="10.15" customHeight="1" x14ac:dyDescent="0.25">
      <c r="B62" s="18">
        <v>47239</v>
      </c>
      <c r="C62" s="21" t="s">
        <v>61</v>
      </c>
      <c r="D62" s="22"/>
    </row>
    <row r="63" spans="2:4" ht="10.15" customHeight="1" x14ac:dyDescent="0.25">
      <c r="B63" s="18">
        <v>47604</v>
      </c>
      <c r="C63" s="21" t="s">
        <v>61</v>
      </c>
      <c r="D63" s="22"/>
    </row>
    <row r="64" spans="2:4" ht="10.15" customHeight="1" x14ac:dyDescent="0.25">
      <c r="B64" s="18">
        <v>47969</v>
      </c>
      <c r="C64" s="21" t="s">
        <v>61</v>
      </c>
      <c r="D64" s="22"/>
    </row>
    <row r="65" spans="2:4" ht="10.15" customHeight="1" x14ac:dyDescent="0.25">
      <c r="B65" s="18">
        <v>48335</v>
      </c>
      <c r="C65" s="21" t="s">
        <v>61</v>
      </c>
      <c r="D65" s="22"/>
    </row>
    <row r="66" spans="2:4" ht="10.15" customHeight="1" x14ac:dyDescent="0.25">
      <c r="B66" s="18">
        <v>48700</v>
      </c>
      <c r="C66" s="21" t="s">
        <v>61</v>
      </c>
      <c r="D66" s="22"/>
    </row>
    <row r="67" spans="2:4" ht="10.15" customHeight="1" x14ac:dyDescent="0.25">
      <c r="B67" s="18">
        <v>49065</v>
      </c>
      <c r="C67" s="21" t="s">
        <v>61</v>
      </c>
      <c r="D67" s="22"/>
    </row>
    <row r="68" spans="2:4" ht="10.15" customHeight="1" x14ac:dyDescent="0.25">
      <c r="B68" s="18">
        <v>45809</v>
      </c>
      <c r="C68" s="21" t="s">
        <v>64</v>
      </c>
      <c r="D68" s="22"/>
    </row>
    <row r="69" spans="2:4" ht="10.15" customHeight="1" x14ac:dyDescent="0.25">
      <c r="B69" s="18">
        <v>46174</v>
      </c>
      <c r="C69" s="21" t="s">
        <v>64</v>
      </c>
      <c r="D69" s="22"/>
    </row>
    <row r="70" spans="2:4" ht="10.15" customHeight="1" x14ac:dyDescent="0.25">
      <c r="B70" s="18">
        <v>46539</v>
      </c>
      <c r="C70" s="21" t="s">
        <v>64</v>
      </c>
      <c r="D70" s="22"/>
    </row>
    <row r="71" spans="2:4" ht="10.15" customHeight="1" x14ac:dyDescent="0.25">
      <c r="B71" s="18">
        <v>46905</v>
      </c>
      <c r="C71" s="21" t="s">
        <v>64</v>
      </c>
      <c r="D71" s="22"/>
    </row>
    <row r="72" spans="2:4" ht="10.15" customHeight="1" x14ac:dyDescent="0.25">
      <c r="B72" s="18">
        <v>47270</v>
      </c>
      <c r="C72" s="21" t="s">
        <v>64</v>
      </c>
      <c r="D72" s="22"/>
    </row>
    <row r="73" spans="2:4" ht="10.15" customHeight="1" x14ac:dyDescent="0.25">
      <c r="B73" s="18">
        <v>47635</v>
      </c>
      <c r="C73" s="21" t="s">
        <v>64</v>
      </c>
      <c r="D73" s="22"/>
    </row>
    <row r="74" spans="2:4" ht="10.15" customHeight="1" x14ac:dyDescent="0.25">
      <c r="B74" s="18">
        <v>48000</v>
      </c>
      <c r="C74" s="21" t="s">
        <v>64</v>
      </c>
      <c r="D74" s="22"/>
    </row>
    <row r="75" spans="2:4" ht="10.15" customHeight="1" x14ac:dyDescent="0.25">
      <c r="B75" s="18">
        <v>48366</v>
      </c>
      <c r="C75" s="21" t="s">
        <v>64</v>
      </c>
      <c r="D75" s="22"/>
    </row>
    <row r="76" spans="2:4" ht="10.15" customHeight="1" x14ac:dyDescent="0.25">
      <c r="B76" s="18">
        <v>48731</v>
      </c>
      <c r="C76" s="21" t="s">
        <v>64</v>
      </c>
      <c r="D76" s="22"/>
    </row>
    <row r="77" spans="2:4" ht="10.15" customHeight="1" x14ac:dyDescent="0.25">
      <c r="B77" s="18">
        <v>49096</v>
      </c>
      <c r="C77" s="21" t="s">
        <v>64</v>
      </c>
      <c r="D77" s="22"/>
    </row>
    <row r="78" spans="2:4" ht="10.15" customHeight="1" x14ac:dyDescent="0.25">
      <c r="B78" s="18">
        <v>45886</v>
      </c>
      <c r="C78" s="21" t="s">
        <v>67</v>
      </c>
      <c r="D78" s="22"/>
    </row>
    <row r="79" spans="2:4" ht="10.15" customHeight="1" x14ac:dyDescent="0.25">
      <c r="B79" s="18">
        <v>46251</v>
      </c>
      <c r="C79" s="21" t="s">
        <v>67</v>
      </c>
      <c r="D79" s="22"/>
    </row>
    <row r="80" spans="2:4" ht="10.15" customHeight="1" x14ac:dyDescent="0.25">
      <c r="B80" s="18">
        <v>46616</v>
      </c>
      <c r="C80" s="21" t="s">
        <v>67</v>
      </c>
      <c r="D80" s="22"/>
    </row>
    <row r="81" spans="2:4" ht="10.15" customHeight="1" x14ac:dyDescent="0.25">
      <c r="B81" s="18">
        <v>46982</v>
      </c>
      <c r="C81" s="21" t="s">
        <v>67</v>
      </c>
      <c r="D81" s="22"/>
    </row>
    <row r="82" spans="2:4" ht="10.15" customHeight="1" x14ac:dyDescent="0.25">
      <c r="B82" s="18">
        <v>47347</v>
      </c>
      <c r="C82" s="21" t="s">
        <v>67</v>
      </c>
      <c r="D82" s="22"/>
    </row>
    <row r="83" spans="2:4" ht="10.15" customHeight="1" x14ac:dyDescent="0.25">
      <c r="B83" s="18">
        <v>47712</v>
      </c>
      <c r="C83" s="21" t="s">
        <v>67</v>
      </c>
      <c r="D83" s="22"/>
    </row>
    <row r="84" spans="2:4" ht="10.15" customHeight="1" x14ac:dyDescent="0.25">
      <c r="B84" s="18">
        <v>48077</v>
      </c>
      <c r="C84" s="21" t="s">
        <v>67</v>
      </c>
      <c r="D84" s="22"/>
    </row>
    <row r="85" spans="2:4" ht="10.15" customHeight="1" x14ac:dyDescent="0.25">
      <c r="B85" s="18">
        <v>48443</v>
      </c>
      <c r="C85" s="21" t="s">
        <v>67</v>
      </c>
      <c r="D85" s="22"/>
    </row>
    <row r="86" spans="2:4" ht="10.15" customHeight="1" x14ac:dyDescent="0.25">
      <c r="B86" s="18">
        <v>48808</v>
      </c>
      <c r="C86" s="21" t="s">
        <v>67</v>
      </c>
      <c r="D86" s="22"/>
    </row>
    <row r="87" spans="2:4" ht="10.15" customHeight="1" x14ac:dyDescent="0.25">
      <c r="B87" s="18">
        <v>49173</v>
      </c>
      <c r="C87" s="21" t="s">
        <v>67</v>
      </c>
      <c r="D87" s="22"/>
    </row>
    <row r="88" spans="2:4" ht="10.15" customHeight="1" x14ac:dyDescent="0.25">
      <c r="B88" s="18">
        <v>46016</v>
      </c>
      <c r="C88" s="21" t="s">
        <v>69</v>
      </c>
      <c r="D88" s="22"/>
    </row>
    <row r="89" spans="2:4" ht="10.15" customHeight="1" x14ac:dyDescent="0.25">
      <c r="B89" s="18">
        <v>46381</v>
      </c>
      <c r="C89" s="21" t="s">
        <v>69</v>
      </c>
      <c r="D89" s="22"/>
    </row>
    <row r="90" spans="2:4" ht="10.15" customHeight="1" x14ac:dyDescent="0.25">
      <c r="B90" s="18">
        <v>46746</v>
      </c>
      <c r="C90" s="21" t="s">
        <v>69</v>
      </c>
      <c r="D90" s="22"/>
    </row>
    <row r="91" spans="2:4" ht="10.15" customHeight="1" x14ac:dyDescent="0.25">
      <c r="B91" s="18">
        <v>47112</v>
      </c>
      <c r="C91" s="21" t="s">
        <v>69</v>
      </c>
      <c r="D91" s="22"/>
    </row>
    <row r="92" spans="2:4" ht="10.15" customHeight="1" x14ac:dyDescent="0.25">
      <c r="B92" s="18">
        <v>47477</v>
      </c>
      <c r="C92" s="21" t="s">
        <v>69</v>
      </c>
      <c r="D92" s="22"/>
    </row>
    <row r="93" spans="2:4" ht="10.15" customHeight="1" x14ac:dyDescent="0.25">
      <c r="B93" s="18">
        <v>47842</v>
      </c>
      <c r="C93" s="21" t="s">
        <v>69</v>
      </c>
      <c r="D93" s="22"/>
    </row>
    <row r="94" spans="2:4" ht="10.15" customHeight="1" x14ac:dyDescent="0.25">
      <c r="B94" s="18">
        <v>48207</v>
      </c>
      <c r="C94" s="21" t="s">
        <v>69</v>
      </c>
      <c r="D94" s="22"/>
    </row>
    <row r="95" spans="2:4" ht="10.15" customHeight="1" x14ac:dyDescent="0.25">
      <c r="B95" s="18">
        <v>48573</v>
      </c>
      <c r="C95" s="21" t="s">
        <v>69</v>
      </c>
      <c r="D95" s="22"/>
    </row>
    <row r="96" spans="2:4" ht="10.15" customHeight="1" x14ac:dyDescent="0.25">
      <c r="B96" s="18">
        <v>48938</v>
      </c>
      <c r="C96" s="21" t="s">
        <v>69</v>
      </c>
      <c r="D96" s="22"/>
    </row>
    <row r="97" spans="2:4" ht="10.15" customHeight="1" x14ac:dyDescent="0.25">
      <c r="B97" s="18">
        <v>49303</v>
      </c>
      <c r="C97" s="21" t="s">
        <v>69</v>
      </c>
      <c r="D97" s="22"/>
    </row>
    <row r="98" spans="2:4" ht="10.15" customHeight="1" x14ac:dyDescent="0.25">
      <c r="B98" s="18">
        <v>45684</v>
      </c>
      <c r="C98" s="21" t="s">
        <v>55</v>
      </c>
      <c r="D98" s="22"/>
    </row>
    <row r="99" spans="2:4" ht="10.15" customHeight="1" x14ac:dyDescent="0.25">
      <c r="B99" s="18">
        <v>45686</v>
      </c>
      <c r="C99" s="21" t="s">
        <v>56</v>
      </c>
      <c r="D99" s="22"/>
    </row>
    <row r="100" spans="2:4" ht="10.15" customHeight="1" x14ac:dyDescent="0.25">
      <c r="B100" s="18">
        <v>45745</v>
      </c>
      <c r="C100" s="21" t="s">
        <v>57</v>
      </c>
      <c r="D100" s="22"/>
    </row>
    <row r="101" spans="2:4" ht="10.15" customHeight="1" x14ac:dyDescent="0.25">
      <c r="B101" s="18">
        <v>45747</v>
      </c>
      <c r="C101" s="21" t="s">
        <v>58</v>
      </c>
      <c r="D101" s="22"/>
    </row>
    <row r="102" spans="2:4" ht="10.15" customHeight="1" x14ac:dyDescent="0.25">
      <c r="B102" s="18">
        <v>45748</v>
      </c>
      <c r="C102" s="21" t="s">
        <v>58</v>
      </c>
      <c r="D102" s="22"/>
    </row>
    <row r="103" spans="2:4" ht="10.15" customHeight="1" x14ac:dyDescent="0.25">
      <c r="B103" s="18">
        <v>45749</v>
      </c>
      <c r="C103" s="21" t="s">
        <v>58</v>
      </c>
      <c r="D103" s="22"/>
    </row>
    <row r="104" spans="2:4" ht="10.15" customHeight="1" x14ac:dyDescent="0.25">
      <c r="B104" s="18">
        <v>45750</v>
      </c>
      <c r="C104" s="21" t="s">
        <v>58</v>
      </c>
      <c r="D104" s="22"/>
    </row>
    <row r="105" spans="2:4" ht="10.15" customHeight="1" x14ac:dyDescent="0.25">
      <c r="B105" s="18">
        <v>45765</v>
      </c>
      <c r="C105" s="21" t="s">
        <v>59</v>
      </c>
      <c r="D105" s="22"/>
    </row>
    <row r="106" spans="2:4" ht="10.15" customHeight="1" x14ac:dyDescent="0.25">
      <c r="B106" s="18">
        <v>45767</v>
      </c>
      <c r="C106" s="21" t="s">
        <v>60</v>
      </c>
      <c r="D106" s="22"/>
    </row>
    <row r="107" spans="2:4" ht="10.15" customHeight="1" x14ac:dyDescent="0.25">
      <c r="B107" s="18">
        <v>45789</v>
      </c>
      <c r="C107" s="21" t="s">
        <v>62</v>
      </c>
      <c r="D107" s="22"/>
    </row>
    <row r="108" spans="2:4" ht="10.15" customHeight="1" x14ac:dyDescent="0.25">
      <c r="B108" s="18">
        <v>45806</v>
      </c>
      <c r="C108" s="21" t="s">
        <v>63</v>
      </c>
      <c r="D108" s="22"/>
    </row>
    <row r="109" spans="2:4" ht="10.15" customHeight="1" x14ac:dyDescent="0.25">
      <c r="B109" s="18">
        <v>45814</v>
      </c>
      <c r="C109" s="21" t="s">
        <v>65</v>
      </c>
      <c r="D109" s="22"/>
    </row>
    <row r="110" spans="2:4" ht="10.15" customHeight="1" x14ac:dyDescent="0.25">
      <c r="B110" s="18">
        <v>45835</v>
      </c>
      <c r="C110" s="21" t="s">
        <v>66</v>
      </c>
      <c r="D110" s="22"/>
    </row>
    <row r="111" spans="2:4" ht="10.15" customHeight="1" x14ac:dyDescent="0.25">
      <c r="B111" s="18">
        <v>45874</v>
      </c>
      <c r="C111" s="21" t="s">
        <v>68</v>
      </c>
      <c r="D111" s="22"/>
    </row>
    <row r="112" spans="2:4" ht="10.15" customHeight="1" x14ac:dyDescent="0.25">
      <c r="B112" s="18"/>
      <c r="C112" s="21"/>
      <c r="D112" s="22"/>
    </row>
    <row r="113" spans="2:4" ht="10.15" customHeight="1" x14ac:dyDescent="0.25">
      <c r="B113" s="18"/>
      <c r="C113" s="21"/>
      <c r="D113" s="22"/>
    </row>
    <row r="114" spans="2:4" ht="10.15" customHeight="1" x14ac:dyDescent="0.25">
      <c r="B114" s="18"/>
      <c r="C114" s="21"/>
      <c r="D114" s="22"/>
    </row>
    <row r="115" spans="2:4" ht="10.15" customHeight="1" x14ac:dyDescent="0.25">
      <c r="B115" s="18"/>
      <c r="C115" s="21"/>
      <c r="D115" s="22"/>
    </row>
    <row r="116" spans="2:4" ht="10.15" customHeight="1" x14ac:dyDescent="0.25">
      <c r="B116" s="18"/>
      <c r="C116" s="21"/>
      <c r="D116" s="22"/>
    </row>
    <row r="117" spans="2:4" ht="10.15" customHeight="1" x14ac:dyDescent="0.25">
      <c r="B117" s="18"/>
      <c r="C117" s="21"/>
      <c r="D117" s="22"/>
    </row>
    <row r="118" spans="2:4" ht="10.15" customHeight="1" x14ac:dyDescent="0.25">
      <c r="B118" s="18"/>
      <c r="C118" s="21"/>
      <c r="D118" s="22"/>
    </row>
    <row r="119" spans="2:4" ht="10.15" customHeight="1" x14ac:dyDescent="0.25">
      <c r="B119" s="18"/>
      <c r="C119" s="21"/>
      <c r="D119" s="22"/>
    </row>
    <row r="120" spans="2:4" ht="10.15" customHeight="1" x14ac:dyDescent="0.25">
      <c r="B120" s="18"/>
      <c r="C120" s="21"/>
      <c r="D120" s="22"/>
    </row>
    <row r="121" spans="2:4" ht="10.15" customHeight="1" x14ac:dyDescent="0.25">
      <c r="B121" s="18"/>
      <c r="C121" s="21"/>
      <c r="D121" s="22"/>
    </row>
    <row r="122" spans="2:4" ht="10.15" customHeight="1" x14ac:dyDescent="0.25">
      <c r="B122" s="18"/>
      <c r="C122" s="21"/>
      <c r="D122" s="22"/>
    </row>
    <row r="123" spans="2:4" ht="10.15" customHeight="1" x14ac:dyDescent="0.25">
      <c r="B123" s="18"/>
      <c r="C123" s="21"/>
      <c r="D123" s="22"/>
    </row>
    <row r="124" spans="2:4" ht="10.15" customHeight="1" x14ac:dyDescent="0.25">
      <c r="B124" s="18"/>
      <c r="C124" s="21"/>
      <c r="D124" s="22"/>
    </row>
    <row r="125" spans="2:4" ht="10.15" customHeight="1" x14ac:dyDescent="0.25">
      <c r="B125" s="18"/>
      <c r="C125" s="21"/>
      <c r="D125" s="22"/>
    </row>
    <row r="126" spans="2:4" ht="10.15" customHeight="1" x14ac:dyDescent="0.25">
      <c r="B126" s="18"/>
      <c r="C126" s="21"/>
      <c r="D126" s="22"/>
    </row>
    <row r="127" spans="2:4" ht="10.15" customHeight="1" x14ac:dyDescent="0.25">
      <c r="B127" s="18"/>
      <c r="C127" s="21"/>
      <c r="D127" s="22"/>
    </row>
    <row r="128" spans="2:4" ht="10.15" customHeight="1" x14ac:dyDescent="0.25">
      <c r="B128" s="18"/>
      <c r="C128" s="21"/>
      <c r="D128" s="22"/>
    </row>
    <row r="129" spans="2:4" ht="10.15" customHeight="1" x14ac:dyDescent="0.25">
      <c r="B129" s="18"/>
      <c r="C129" s="21"/>
      <c r="D129" s="22"/>
    </row>
    <row r="130" spans="2:4" ht="10.15" customHeight="1" x14ac:dyDescent="0.25">
      <c r="B130" s="18"/>
      <c r="C130" s="21"/>
      <c r="D130" s="22"/>
    </row>
    <row r="131" spans="2:4" ht="10.15" customHeight="1" x14ac:dyDescent="0.25">
      <c r="B131" s="18"/>
      <c r="C131" s="21"/>
      <c r="D131" s="22"/>
    </row>
    <row r="132" spans="2:4" ht="10.15" customHeight="1" x14ac:dyDescent="0.25">
      <c r="B132" s="18"/>
      <c r="C132" s="21"/>
      <c r="D132" s="22"/>
    </row>
    <row r="133" spans="2:4" ht="10.15" customHeight="1" x14ac:dyDescent="0.25">
      <c r="B133" s="18"/>
      <c r="C133" s="21"/>
      <c r="D133" s="22"/>
    </row>
    <row r="134" spans="2:4" ht="10.15" customHeight="1" x14ac:dyDescent="0.25">
      <c r="B134" s="18"/>
      <c r="C134" s="21"/>
      <c r="D134" s="22"/>
    </row>
    <row r="135" spans="2:4" ht="10.15" customHeight="1" x14ac:dyDescent="0.25">
      <c r="B135" s="18"/>
      <c r="C135" s="21"/>
      <c r="D135" s="22"/>
    </row>
    <row r="136" spans="2:4" ht="10.15" customHeight="1" x14ac:dyDescent="0.25">
      <c r="B136" s="18"/>
      <c r="C136" s="21"/>
      <c r="D136" s="22"/>
    </row>
    <row r="137" spans="2:4" ht="10.15" customHeight="1" x14ac:dyDescent="0.25">
      <c r="B137" s="18"/>
      <c r="C137" s="21"/>
      <c r="D137" s="22"/>
    </row>
    <row r="138" spans="2:4" ht="10.15" customHeight="1" x14ac:dyDescent="0.25">
      <c r="B138" s="18"/>
      <c r="C138" s="21"/>
      <c r="D138" s="22"/>
    </row>
    <row r="139" spans="2:4" ht="10.15" customHeight="1" x14ac:dyDescent="0.25">
      <c r="B139" s="18"/>
      <c r="C139" s="21"/>
      <c r="D139" s="22"/>
    </row>
    <row r="140" spans="2:4" ht="10.15" customHeight="1" x14ac:dyDescent="0.25">
      <c r="B140" s="18"/>
      <c r="C140" s="21"/>
      <c r="D140" s="22"/>
    </row>
    <row r="141" spans="2:4" ht="10.15" customHeight="1" x14ac:dyDescent="0.25">
      <c r="B141" s="18"/>
      <c r="C141" s="21"/>
      <c r="D141" s="22"/>
    </row>
    <row r="142" spans="2:4" ht="10.15" customHeight="1" x14ac:dyDescent="0.25">
      <c r="B142" s="18"/>
      <c r="C142" s="21"/>
      <c r="D142" s="22"/>
    </row>
    <row r="143" spans="2:4" ht="10.15" customHeight="1" x14ac:dyDescent="0.25">
      <c r="B143" s="18"/>
      <c r="C143" s="21"/>
      <c r="D143" s="22"/>
    </row>
    <row r="144" spans="2:4" ht="10.15" customHeight="1" x14ac:dyDescent="0.25">
      <c r="B144" s="18"/>
      <c r="C144" s="21"/>
      <c r="D144" s="22"/>
    </row>
    <row r="145" spans="2:4" ht="10.15" customHeight="1" x14ac:dyDescent="0.25">
      <c r="B145" s="18"/>
      <c r="C145" s="21"/>
      <c r="D145" s="22"/>
    </row>
    <row r="146" spans="2:4" ht="10.15" customHeight="1" x14ac:dyDescent="0.25">
      <c r="B146" s="18"/>
      <c r="C146" s="21"/>
      <c r="D146" s="22"/>
    </row>
    <row r="147" spans="2:4" ht="10.15" customHeight="1" x14ac:dyDescent="0.25">
      <c r="B147" s="18"/>
      <c r="C147" s="21"/>
      <c r="D147" s="22"/>
    </row>
  </sheetData>
  <mergeCells count="9">
    <mergeCell ref="K2:K4"/>
    <mergeCell ref="J2:J4"/>
    <mergeCell ref="B2:B4"/>
    <mergeCell ref="E2:E4"/>
    <mergeCell ref="F2:F3"/>
    <mergeCell ref="G2:G3"/>
    <mergeCell ref="H2:H4"/>
    <mergeCell ref="I2:I4"/>
    <mergeCell ref="C2:D3"/>
  </mergeCells>
  <conditionalFormatting sqref="B48:B57 B112:B147">
    <cfRule type="duplicateValues" dxfId="5" priority="12"/>
  </conditionalFormatting>
  <conditionalFormatting sqref="B58:B67">
    <cfRule type="duplicateValues" dxfId="4" priority="10"/>
  </conditionalFormatting>
  <conditionalFormatting sqref="B68:B77">
    <cfRule type="duplicateValues" dxfId="3" priority="8"/>
  </conditionalFormatting>
  <conditionalFormatting sqref="B78:B87">
    <cfRule type="duplicateValues" dxfId="2" priority="7"/>
  </conditionalFormatting>
  <conditionalFormatting sqref="B88:B97">
    <cfRule type="duplicateValues" dxfId="1" priority="6"/>
  </conditionalFormatting>
  <conditionalFormatting sqref="B98:B111">
    <cfRule type="duplicateValues" dxfId="0" priority="15"/>
  </conditionalFormatting>
  <dataValidations count="1">
    <dataValidation type="decimal" allowBlank="1" showInputMessage="1" showErrorMessage="1" errorTitle="Error Message" error="Hanya angka yang diizinkan di sel ini!" sqref="F7:G10 F12:G20" xr:uid="{D9B257A4-E8BD-4683-AF48-44EE1FE586AC}">
      <formula1>-9.99999999999999E+28</formula1>
      <formula2>9.99999999999999E+28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WhatsApp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Ariyanto Susanto</dc:creator>
  <cp:lastModifiedBy>Admin RPA</cp:lastModifiedBy>
  <dcterms:created xsi:type="dcterms:W3CDTF">2024-12-23T06:22:24Z</dcterms:created>
  <dcterms:modified xsi:type="dcterms:W3CDTF">2025-05-19T06:36:18Z</dcterms:modified>
</cp:coreProperties>
</file>